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_san\Desktop\Blind Eye\"/>
    </mc:Choice>
  </mc:AlternateContent>
  <xr:revisionPtr revIDLastSave="0" documentId="13_ncr:1_{630DDD8B-36A5-455C-AA84-F1F3445964BF}" xr6:coauthVersionLast="45" xr6:coauthVersionMax="45" xr10:uidLastSave="{00000000-0000-0000-0000-000000000000}"/>
  <bookViews>
    <workbookView xWindow="-108" yWindow="-108" windowWidth="23256" windowHeight="12576" tabRatio="453" firstSheet="1" activeTab="1" xr2:uid="{00000000-000D-0000-FFFF-FFFF00000000}"/>
  </bookViews>
  <sheets>
    <sheet name="Main" sheetId="1" state="veryHidden" r:id="rId1"/>
    <sheet name="Maker" sheetId="2" r:id="rId2"/>
    <sheet name="Checker" sheetId="3" state="veryHidden" r:id="rId3"/>
    <sheet name="User Guide" sheetId="4" r:id="rId4"/>
  </sheets>
  <functionGroups builtInGroupCount="19"/>
  <calcPr calcId="191029"/>
</workbook>
</file>

<file path=xl/calcChain.xml><?xml version="1.0" encoding="utf-8"?>
<calcChain xmlns="http://schemas.openxmlformats.org/spreadsheetml/2006/main">
  <c r="L6" i="3" l="1"/>
  <c r="M6" i="3"/>
  <c r="N6" i="3"/>
  <c r="O6" i="3"/>
  <c r="P6" i="3"/>
  <c r="Q6" i="3"/>
  <c r="R6" i="3"/>
  <c r="J6" i="3"/>
  <c r="F4" i="1" l="1"/>
  <c r="I2" i="1" l="1"/>
  <c r="I1" i="1"/>
  <c r="F1" i="1" l="1"/>
</calcChain>
</file>

<file path=xl/sharedStrings.xml><?xml version="1.0" encoding="utf-8"?>
<sst xmlns="http://schemas.openxmlformats.org/spreadsheetml/2006/main" count="71" uniqueCount="50">
  <si>
    <t>Username</t>
  </si>
  <si>
    <t>Name</t>
  </si>
  <si>
    <t>Role</t>
  </si>
  <si>
    <t>Process Name</t>
  </si>
  <si>
    <t>QC Status</t>
  </si>
  <si>
    <t>Authentication</t>
  </si>
  <si>
    <r>
      <rPr>
        <b/>
        <sz val="20"/>
        <color theme="1"/>
        <rFont val="Calibri"/>
        <family val="2"/>
      </rPr>
      <t>MAKER</t>
    </r>
    <r>
      <rPr>
        <b/>
        <sz val="14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INPUT</t>
    </r>
  </si>
  <si>
    <t>File Location</t>
  </si>
  <si>
    <t>Checker Name</t>
  </si>
  <si>
    <t>Checker</t>
  </si>
  <si>
    <t>Lead</t>
  </si>
  <si>
    <t>Suri</t>
  </si>
  <si>
    <t>SU20072577</t>
  </si>
  <si>
    <t>r_san</t>
  </si>
  <si>
    <t>Maker</t>
  </si>
  <si>
    <t>Required</t>
  </si>
  <si>
    <t>C:\Users\r_san\Desktop\Blind Eye</t>
  </si>
  <si>
    <t>Sanjeev</t>
  </si>
  <si>
    <t>BLIND EYE TEMPLATE</t>
  </si>
  <si>
    <t>File inlcudes 3 sheets</t>
  </si>
  <si>
    <t>a. Main Sheet</t>
  </si>
  <si>
    <t>b. Maker Sheet</t>
  </si>
  <si>
    <t>c. Checker Sheet</t>
  </si>
  <si>
    <t>Main Sheet access will be given only to Lead</t>
  </si>
  <si>
    <t>By Default, you will be having Maker Sheet Access</t>
  </si>
  <si>
    <t>Checker Roles has to be defined in Maker Sheet</t>
  </si>
  <si>
    <t>Guidelines for Lead</t>
  </si>
  <si>
    <t>Maker cannot view checker file and vice versa</t>
  </si>
  <si>
    <t>Add "Username" and "Role" in Column A and C respectively</t>
  </si>
  <si>
    <t>Do not delete Columns E to I</t>
  </si>
  <si>
    <t>Guidelines for Maker</t>
  </si>
  <si>
    <t>Maker can key in any numbers of enteries</t>
  </si>
  <si>
    <t>Insert a new column by selecting last column</t>
  </si>
  <si>
    <t>Insert a new row by selecting last row</t>
  </si>
  <si>
    <t>Maker to specify File Location to Save Checker File</t>
  </si>
  <si>
    <r>
      <t xml:space="preserve">CHECKER FILE LOCATION (do not add </t>
    </r>
    <r>
      <rPr>
        <sz val="12"/>
        <color rgb="FFFF0000"/>
        <rFont val="Segoe UI Semibold"/>
        <family val="2"/>
      </rPr>
      <t>"\"</t>
    </r>
    <r>
      <rPr>
        <sz val="12"/>
        <color theme="1"/>
        <rFont val="Segoe UI Semibold"/>
        <family val="2"/>
      </rPr>
      <t xml:space="preserve"> at the end)</t>
    </r>
  </si>
  <si>
    <t>Checker to Key In Values in the highlighted cells</t>
  </si>
  <si>
    <t>Checker cannot insert any values below the table</t>
  </si>
  <si>
    <t>Guidelines for Checker</t>
  </si>
  <si>
    <t>Maker Name</t>
  </si>
  <si>
    <t>Rajaputra Sanjeev Singh</t>
  </si>
  <si>
    <t>Age</t>
  </si>
  <si>
    <t>City</t>
  </si>
  <si>
    <t>Country</t>
  </si>
  <si>
    <t>Phone</t>
  </si>
  <si>
    <t>Email</t>
  </si>
  <si>
    <t>Hyderabad</t>
  </si>
  <si>
    <t>India</t>
  </si>
  <si>
    <t>dummy@dummy.com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</si>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</sst>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0.5"/>
      <color theme="1"/>
      <name val="Frutiger 45 Light"/>
      <family val="2"/>
    </font>
    <font>
      <sz val="10.5"/>
      <color theme="1"/>
      <name val="Consolas"/>
      <family val="3"/>
    </font>
    <font>
      <b/>
      <sz val="10.5"/>
      <color theme="1"/>
      <name val="Consolas"/>
      <family val="3"/>
    </font>
    <font>
      <sz val="10.5"/>
      <color rgb="FFFF0000"/>
      <name val="Consolas"/>
      <family val="3"/>
    </font>
    <font>
      <sz val="10.5"/>
      <color theme="1"/>
      <name val="Frutiger 45 Light"/>
      <family val="2"/>
    </font>
    <font>
      <b/>
      <sz val="10"/>
      <color theme="0"/>
      <name val="Frutiger 45 Light"/>
      <family val="2"/>
    </font>
    <font>
      <sz val="10"/>
      <color theme="1"/>
      <name val="Frutiger 45 Light"/>
      <family val="2"/>
    </font>
    <font>
      <b/>
      <sz val="14"/>
      <color theme="1"/>
      <name val="Frutiger 45 Light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Segoe UI Semibold"/>
      <family val="2"/>
    </font>
    <font>
      <sz val="12"/>
      <color rgb="FFFF0000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194CB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3" borderId="0" applyNumberFormat="0" applyBorder="0" applyAlignment="0" applyProtection="0"/>
  </cellStyleXfs>
  <cellXfs count="3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0" borderId="0" xfId="0" applyNumberFormat="1" applyFont="1" applyBorder="1"/>
    <xf numFmtId="0" fontId="6" fillId="0" borderId="2" xfId="2" applyNumberFormat="1" applyFont="1" applyFill="1" applyBorder="1" applyAlignment="1">
      <alignment horizontal="center" vertical="center"/>
    </xf>
    <xf numFmtId="0" fontId="5" fillId="4" borderId="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4" borderId="8" xfId="1" applyNumberFormat="1" applyFont="1" applyFill="1" applyBorder="1" applyAlignment="1" applyProtection="1">
      <alignment horizontal="center" vertical="center" wrapText="1"/>
      <protection locked="0"/>
    </xf>
    <xf numFmtId="0" fontId="5" fillId="4" borderId="9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2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6" fillId="0" borderId="17" xfId="2" applyNumberFormat="1" applyFont="1" applyFill="1" applyBorder="1" applyAlignment="1">
      <alignment horizontal="center" vertical="center"/>
    </xf>
    <xf numFmtId="0" fontId="6" fillId="0" borderId="7" xfId="2" quotePrefix="1" applyNumberFormat="1" applyFont="1" applyFill="1" applyBorder="1" applyAlignment="1">
      <alignment horizontal="center" vertical="center"/>
    </xf>
    <xf numFmtId="0" fontId="5" fillId="4" borderId="18" xfId="1" applyNumberFormat="1" applyFont="1" applyFill="1" applyBorder="1" applyAlignment="1" applyProtection="1">
      <alignment horizontal="center" vertical="center" wrapText="1"/>
      <protection locked="0"/>
    </xf>
    <xf numFmtId="0" fontId="2" fillId="6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0" xfId="0" applyFont="1" applyFill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inden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9" fillId="0" borderId="11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/>
    </xf>
    <xf numFmtId="0" fontId="7" fillId="0" borderId="13" xfId="0" applyNumberFormat="1" applyFont="1" applyBorder="1" applyAlignment="1">
      <alignment horizontal="center" vertical="center"/>
    </xf>
    <xf numFmtId="0" fontId="7" fillId="0" borderId="14" xfId="0" applyNumberFormat="1" applyFont="1" applyBorder="1" applyAlignment="1">
      <alignment horizontal="center" vertical="center"/>
    </xf>
    <xf numFmtId="0" fontId="7" fillId="0" borderId="16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</cellXfs>
  <cellStyles count="3">
    <cellStyle name="40% - Accent1 2" xfId="2" xr:uid="{00000000-0005-0000-0000-000000000000}"/>
    <cellStyle name="Normal" xfId="0" builtinId="0"/>
    <cellStyle name="Normal 2" xfId="1" xr:uid="{00000000-0005-0000-0000-000002000000}"/>
  </cellStyles>
  <dxfs count="5"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</dxfs>
  <tableStyles count="0" defaultTableStyle="TableStyleMedium2" defaultPivotStyle="PivotStyleLight16"/>
  <colors>
    <mruColors>
      <color rgb="FFFF5050"/>
      <color rgb="FFFE4D2A"/>
      <color rgb="FF81EE72"/>
      <color rgb="FF66FE74"/>
      <color rgb="FFFF7171"/>
      <color rgb="FFFF3300"/>
      <color rgb="FFFF9933"/>
      <color rgb="FF194CB3"/>
      <color rgb="FF000066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38101</xdr:rowOff>
    </xdr:from>
    <xdr:to>
      <xdr:col>3</xdr:col>
      <xdr:colOff>314325</xdr:colOff>
      <xdr:row>3</xdr:row>
      <xdr:rowOff>142875</xdr:rowOff>
    </xdr:to>
    <xdr:sp macro="[0]!generateChecke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5300" y="409576"/>
          <a:ext cx="1552575" cy="29527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Candara" panose="020E0502030303020204" pitchFamily="34" charset="0"/>
            </a:rPr>
            <a:t>SEND TO CHECKER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opLeftCell="XFD1" workbookViewId="0">
      <selection activeCell="A5" sqref="A5:C5"/>
    </sheetView>
  </sheetViews>
  <sheetFormatPr defaultColWidth="0" defaultRowHeight="14.4"/>
  <cols>
    <col min="1" max="1" width="10.8984375" style="21" hidden="1" customWidth="1"/>
    <col min="2" max="4" width="9" style="21" hidden="1" customWidth="1"/>
    <col min="5" max="5" width="15" style="21" hidden="1" customWidth="1"/>
    <col min="6" max="6" width="18.09765625" style="21" hidden="1" customWidth="1"/>
    <col min="7" max="9" width="8.796875" style="21" hidden="1" customWidth="1"/>
    <col min="10" max="16384" width="0" style="21" hidden="1"/>
  </cols>
  <sheetData>
    <row r="1" spans="1:9">
      <c r="A1" s="20" t="s">
        <v>0</v>
      </c>
      <c r="B1" s="20" t="s">
        <v>1</v>
      </c>
      <c r="C1" s="20" t="s">
        <v>2</v>
      </c>
      <c r="E1" s="2" t="s">
        <v>13</v>
      </c>
      <c r="F1" s="3" t="str">
        <f>IFERROR(VLOOKUP(E1,A:C,3,0),"Maker")</f>
        <v>Maker</v>
      </c>
      <c r="H1" s="1" t="s">
        <v>14</v>
      </c>
      <c r="I1" s="1">
        <f>COUNTIFS(A:A,$E$1,C:C,$H$1)</f>
        <v>1</v>
      </c>
    </row>
    <row r="2" spans="1:9" ht="15" thickBot="1">
      <c r="A2" s="1" t="s">
        <v>12</v>
      </c>
      <c r="B2" s="1" t="s">
        <v>11</v>
      </c>
      <c r="C2" s="1" t="s">
        <v>10</v>
      </c>
      <c r="E2" s="4" t="s">
        <v>5</v>
      </c>
      <c r="F2" s="5" t="s">
        <v>15</v>
      </c>
      <c r="H2" s="1" t="s">
        <v>9</v>
      </c>
      <c r="I2" s="1">
        <f>COUNTIFS(A:A,$E$1,C:C,$H$2)</f>
        <v>0</v>
      </c>
    </row>
    <row r="3" spans="1:9">
      <c r="A3" s="1" t="s">
        <v>12</v>
      </c>
      <c r="B3" s="1" t="s">
        <v>11</v>
      </c>
      <c r="C3" s="1" t="s">
        <v>9</v>
      </c>
    </row>
    <row r="4" spans="1:9">
      <c r="A4" s="1" t="s">
        <v>13</v>
      </c>
      <c r="B4" s="1" t="s">
        <v>17</v>
      </c>
      <c r="C4" s="1" t="s">
        <v>14</v>
      </c>
      <c r="E4" s="21" t="s">
        <v>7</v>
      </c>
      <c r="F4" s="23" t="str">
        <f>'User Guide'!C3</f>
        <v>C:\Users\r_san\Desktop\Blind Eye</v>
      </c>
    </row>
    <row r="5" spans="1:9">
      <c r="A5" s="1"/>
      <c r="B5" s="1"/>
      <c r="C5" s="1"/>
    </row>
    <row r="6" spans="1:9">
      <c r="A6" s="22"/>
      <c r="B6" s="1"/>
      <c r="C6" s="22"/>
    </row>
    <row r="7" spans="1:9">
      <c r="A7" s="22"/>
      <c r="B7" s="22"/>
      <c r="C7" s="22"/>
    </row>
    <row r="8" spans="1:9">
      <c r="A8" s="22"/>
      <c r="B8" s="22"/>
      <c r="C8" s="22"/>
    </row>
    <row r="9" spans="1:9">
      <c r="A9" s="22"/>
      <c r="B9" s="22"/>
      <c r="C9" s="22"/>
    </row>
    <row r="10" spans="1:9">
      <c r="A10" s="22"/>
      <c r="B10" s="22"/>
      <c r="C10" s="22"/>
    </row>
    <row r="11" spans="1:9">
      <c r="A11" s="22"/>
      <c r="B11" s="22"/>
      <c r="C11" s="22"/>
    </row>
    <row r="12" spans="1:9">
      <c r="A12" s="22"/>
      <c r="B12" s="22"/>
      <c r="C12" s="22"/>
    </row>
    <row r="13" spans="1:9">
      <c r="A13" s="22"/>
      <c r="B13" s="22"/>
      <c r="C13" s="22"/>
    </row>
    <row r="14" spans="1:9">
      <c r="A14" s="22"/>
      <c r="B14" s="22"/>
      <c r="C14" s="22"/>
    </row>
    <row r="15" spans="1:9">
      <c r="A15" s="22"/>
      <c r="B15" s="22"/>
      <c r="C15" s="22"/>
    </row>
    <row r="16" spans="1:9">
      <c r="A16" s="22"/>
      <c r="B16" s="22"/>
      <c r="C16" s="22"/>
    </row>
    <row r="17" spans="1:3">
      <c r="A17" s="22"/>
      <c r="B17" s="22"/>
      <c r="C17" s="22"/>
    </row>
    <row r="18" spans="1:3">
      <c r="A18" s="22"/>
      <c r="B18" s="22"/>
      <c r="C18" s="22"/>
    </row>
    <row r="19" spans="1:3">
      <c r="A19" s="22"/>
      <c r="B19" s="22"/>
      <c r="C19" s="22"/>
    </row>
    <row r="20" spans="1:3">
      <c r="A20" s="22"/>
      <c r="B20" s="22"/>
      <c r="C20" s="22"/>
    </row>
    <row r="21" spans="1:3">
      <c r="A21" s="22"/>
      <c r="B21" s="22"/>
      <c r="C21" s="22"/>
    </row>
    <row r="22" spans="1:3">
      <c r="A22" s="22"/>
      <c r="B22" s="22"/>
      <c r="C22" s="22"/>
    </row>
    <row r="23" spans="1:3">
      <c r="A23" s="22"/>
      <c r="B23" s="22"/>
      <c r="C23" s="22"/>
    </row>
    <row r="24" spans="1:3">
      <c r="A24" s="22"/>
      <c r="B24" s="22"/>
      <c r="C24" s="22"/>
    </row>
    <row r="25" spans="1:3">
      <c r="A25" s="22"/>
      <c r="B25" s="22"/>
      <c r="C25" s="22"/>
    </row>
  </sheetData>
  <pageMargins left="0.7" right="0.7" top="0.75" bottom="0.75" header="0.3" footer="0.3"/>
  <pageSetup orientation="portrait" horizontalDpi="300" verticalDpi="300" r:id="rId1"/>
  <headerFooter>
    <oddFooter>&amp;C&amp;1#&amp;"Arial"&amp;7 Sensitivity: Internal &amp;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6"/>
  <sheetViews>
    <sheetView showGridLines="0" tabSelected="1" topLeftCell="A4" workbookViewId="0">
      <selection activeCell="D22" sqref="D22"/>
    </sheetView>
  </sheetViews>
  <sheetFormatPr defaultColWidth="9" defaultRowHeight="13.2"/>
  <cols>
    <col min="1" max="1" width="4.69921875" style="6" customWidth="1"/>
    <col min="2" max="5" width="9" style="6" customWidth="1"/>
    <col min="6" max="6" width="9.8984375" style="6" customWidth="1"/>
    <col min="7" max="7" width="16.8984375" style="6" customWidth="1"/>
    <col min="8" max="16384" width="9" style="6"/>
  </cols>
  <sheetData>
    <row r="2" spans="2:8" ht="13.8" thickBot="1"/>
    <row r="3" spans="2:8" ht="15" customHeight="1">
      <c r="B3" s="29" t="s">
        <v>6</v>
      </c>
      <c r="C3" s="30"/>
      <c r="D3" s="30"/>
      <c r="E3" s="30"/>
      <c r="F3" s="30"/>
      <c r="G3" s="30"/>
      <c r="H3" s="31"/>
    </row>
    <row r="4" spans="2:8" ht="15" customHeight="1" thickBot="1">
      <c r="B4" s="32"/>
      <c r="C4" s="33"/>
      <c r="D4" s="33"/>
      <c r="E4" s="33"/>
      <c r="F4" s="33"/>
      <c r="G4" s="33"/>
      <c r="H4" s="34"/>
    </row>
    <row r="5" spans="2:8">
      <c r="B5" s="11" t="s">
        <v>1</v>
      </c>
      <c r="C5" s="12" t="s">
        <v>41</v>
      </c>
      <c r="D5" s="11" t="s">
        <v>42</v>
      </c>
      <c r="E5" s="12" t="s">
        <v>43</v>
      </c>
      <c r="F5" s="11" t="s">
        <v>44</v>
      </c>
      <c r="G5" s="12" t="s">
        <v>45</v>
      </c>
      <c r="H5" s="19" t="s">
        <v>49</v>
      </c>
    </row>
    <row r="6" spans="2:8">
      <c r="B6" s="18" t="s">
        <v>17</v>
      </c>
      <c r="C6" s="7">
        <v>25</v>
      </c>
      <c r="D6" s="13" t="s">
        <v>46</v>
      </c>
      <c r="E6" s="13" t="s">
        <v>47</v>
      </c>
      <c r="F6" s="13">
        <v>1234567890</v>
      </c>
      <c r="G6" s="13" t="s">
        <v>48</v>
      </c>
      <c r="H6" s="17">
        <v>1</v>
      </c>
    </row>
  </sheetData>
  <mergeCells count="1">
    <mergeCell ref="B3:H4"/>
  </mergeCells>
  <pageMargins left="0.7" right="0.7" top="0.75" bottom="0.75" header="0.3" footer="0.3"/>
  <pageSetup orientation="portrait" horizontalDpi="300" verticalDpi="300" r:id="rId1"/>
  <headerFooter>
    <oddFooter>&amp;C&amp;1#&amp;"Arial"&amp;7 Sensitivity: Internal &amp; Restricted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"/>
  <sheetViews>
    <sheetView showGridLines="0" workbookViewId="0">
      <selection activeCell="L6" sqref="L6:R6"/>
    </sheetView>
  </sheetViews>
  <sheetFormatPr defaultColWidth="9" defaultRowHeight="13.8"/>
  <cols>
    <col min="1" max="8" width="15.69921875" customWidth="1"/>
    <col min="9" max="9" width="3.69921875" customWidth="1"/>
    <col min="11" max="11" width="3.69921875" customWidth="1"/>
    <col min="12" max="18" width="15.69921875" customWidth="1"/>
  </cols>
  <sheetData>
    <row r="1" spans="1:18">
      <c r="A1" s="15" t="s">
        <v>3</v>
      </c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5" t="s">
        <v>8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5" t="s">
        <v>39</v>
      </c>
      <c r="B3" s="15" t="s">
        <v>40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0"/>
      <c r="B5" s="8" t="s">
        <v>1</v>
      </c>
      <c r="C5" s="8" t="s">
        <v>41</v>
      </c>
      <c r="D5" s="8" t="s">
        <v>42</v>
      </c>
      <c r="E5" s="8" t="s">
        <v>43</v>
      </c>
      <c r="F5" s="8" t="s">
        <v>44</v>
      </c>
      <c r="G5" s="8" t="s">
        <v>45</v>
      </c>
      <c r="H5" s="8" t="s">
        <v>49</v>
      </c>
      <c r="I5" s="10"/>
      <c r="J5" s="8" t="s">
        <v>4</v>
      </c>
      <c r="K5" s="10"/>
      <c r="L5" s="8" t="s">
        <v>1</v>
      </c>
      <c r="M5" s="8" t="s">
        <v>41</v>
      </c>
      <c r="N5" s="8" t="s">
        <v>42</v>
      </c>
      <c r="O5" s="8" t="s">
        <v>43</v>
      </c>
      <c r="P5" s="8" t="s">
        <v>44</v>
      </c>
      <c r="Q5" s="8" t="s">
        <v>45</v>
      </c>
      <c r="R5" s="8" t="s">
        <v>49</v>
      </c>
    </row>
    <row r="6" spans="1:18">
      <c r="A6" s="10"/>
      <c r="B6" s="14"/>
      <c r="C6" s="14"/>
      <c r="D6" s="14"/>
      <c r="E6" s="14"/>
      <c r="F6" s="14"/>
      <c r="G6" s="14"/>
      <c r="H6" s="14"/>
      <c r="I6" s="10"/>
      <c r="J6" s="9" t="str">
        <f>IF(TRIM(COUNTIF(L6:AJ6,"MATCHED"))="7","PASS","FAIL")</f>
        <v>FAIL</v>
      </c>
      <c r="K6" s="10"/>
      <c r="L6" s="9" t="str">
        <f>IF(Maker!B6&lt;&gt;"",IF(B6=Maker!B6,"MATCHED","UNMATCHED"))</f>
        <v>UNMATCHED</v>
      </c>
      <c r="M6" s="9" t="str">
        <f>IF(Maker!C6&lt;&gt;"",IF(C6=Maker!C6,"MATCHED","UNMATCHED"))</f>
        <v>UNMATCHED</v>
      </c>
      <c r="N6" s="9" t="str">
        <f>IF(Maker!D6&lt;&gt;"",IF(D6=Maker!D6,"MATCHED","UNMATCHED"))</f>
        <v>UNMATCHED</v>
      </c>
      <c r="O6" s="9" t="str">
        <f>IF(Maker!E6&lt;&gt;"",IF(E6=Maker!E6,"MATCHED","UNMATCHED"))</f>
        <v>UNMATCHED</v>
      </c>
      <c r="P6" s="9" t="str">
        <f>IF(Maker!F6&lt;&gt;"",IF(F6=Maker!F6,"MATCHED","UNMATCHED"))</f>
        <v>UNMATCHED</v>
      </c>
      <c r="Q6" s="9" t="str">
        <f>IF(Maker!G6&lt;&gt;"",IF(G6=Maker!G6,"MATCHED","UNMATCHED"))</f>
        <v>UNMATCHED</v>
      </c>
      <c r="R6" s="9" t="str">
        <f>IF(Maker!H6&lt;&gt;"",IF(H6=Maker!H6,"MATCHED","UNMATCHED"))</f>
        <v>UNMATCHED</v>
      </c>
    </row>
  </sheetData>
  <sheetProtection algorithmName="SHA-512" hashValue="FZYWm34j2nBeb9BV/WsChoTsnypkJ6ugD6YB3d2t9Mdl4uy32jYPNO/LOLY8k0uelgjqH0NrG9W5DqiuK9jHQQ==" saltValue="jtflR/CxU9KVrEM+/l/pSg==" spinCount="100000" sheet="1" objects="1" scenarios="1"/>
  <conditionalFormatting sqref="J6">
    <cfRule type="cellIs" dxfId="4" priority="5" operator="equal">
      <formula>"PASS"</formula>
    </cfRule>
    <cfRule type="cellIs" dxfId="3" priority="4" operator="equal">
      <formula>"FAIL"</formula>
    </cfRule>
  </conditionalFormatting>
  <conditionalFormatting sqref="L6:R6">
    <cfRule type="cellIs" dxfId="2" priority="3" operator="equal">
      <formula>FALSE</formula>
    </cfRule>
    <cfRule type="cellIs" dxfId="1" priority="2" operator="equal">
      <formula>"MATCHED"</formula>
    </cfRule>
    <cfRule type="cellIs" dxfId="0" priority="1" operator="equal">
      <formula>"UNMATCHED"</formula>
    </cfRule>
  </conditionalFormatting>
  <pageMargins left="0.7" right="0.7" top="0.75" bottom="0.75" header="0.3" footer="0.3"/>
  <pageSetup orientation="portrait" r:id="rId1"/>
  <headerFooter>
    <oddFooter>&amp;C&amp;1#&amp;"Arial"&amp;7 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2E4F-3BD7-4651-A0FE-CDBE2FC2F47B}">
  <sheetPr codeName="Sheet4"/>
  <dimension ref="A1:H23"/>
  <sheetViews>
    <sheetView workbookViewId="0">
      <selection sqref="A1:H23"/>
    </sheetView>
  </sheetViews>
  <sheetFormatPr defaultRowHeight="19.2"/>
  <cols>
    <col min="1" max="1" width="8.796875" style="24"/>
    <col min="2" max="2" width="79" style="25" customWidth="1"/>
    <col min="3" max="16384" width="8.796875" style="25"/>
  </cols>
  <sheetData>
    <row r="1" spans="1:8">
      <c r="B1" s="27" t="s">
        <v>18</v>
      </c>
    </row>
    <row r="2" spans="1:8">
      <c r="A2" s="24">
        <v>1</v>
      </c>
      <c r="B2" s="25" t="s">
        <v>19</v>
      </c>
      <c r="C2" s="36" t="s">
        <v>35</v>
      </c>
      <c r="D2" s="36"/>
      <c r="E2" s="36"/>
      <c r="F2" s="36"/>
      <c r="G2" s="36"/>
      <c r="H2" s="36"/>
    </row>
    <row r="3" spans="1:8">
      <c r="B3" s="26" t="s">
        <v>20</v>
      </c>
      <c r="C3" s="35" t="s">
        <v>16</v>
      </c>
      <c r="D3" s="35"/>
      <c r="E3" s="35"/>
      <c r="F3" s="35"/>
      <c r="G3" s="35"/>
      <c r="H3" s="35"/>
    </row>
    <row r="4" spans="1:8">
      <c r="B4" s="26" t="s">
        <v>21</v>
      </c>
    </row>
    <row r="5" spans="1:8">
      <c r="B5" s="26" t="s">
        <v>22</v>
      </c>
    </row>
    <row r="6" spans="1:8">
      <c r="A6" s="24">
        <v>2</v>
      </c>
      <c r="B6" s="25" t="s">
        <v>23</v>
      </c>
    </row>
    <row r="7" spans="1:8">
      <c r="A7" s="24">
        <v>3</v>
      </c>
      <c r="B7" s="25" t="s">
        <v>24</v>
      </c>
    </row>
    <row r="8" spans="1:8">
      <c r="A8" s="24">
        <v>4</v>
      </c>
      <c r="B8" s="25" t="s">
        <v>25</v>
      </c>
    </row>
    <row r="9" spans="1:8">
      <c r="A9" s="24">
        <v>5</v>
      </c>
      <c r="B9" s="25" t="s">
        <v>27</v>
      </c>
      <c r="C9" s="24"/>
    </row>
    <row r="10" spans="1:8">
      <c r="C10" s="24"/>
    </row>
    <row r="11" spans="1:8">
      <c r="B11" s="28" t="s">
        <v>26</v>
      </c>
    </row>
    <row r="12" spans="1:8">
      <c r="A12" s="24">
        <v>1</v>
      </c>
      <c r="B12" s="25" t="s">
        <v>28</v>
      </c>
    </row>
    <row r="13" spans="1:8">
      <c r="A13" s="24">
        <v>2</v>
      </c>
      <c r="B13" s="25" t="s">
        <v>29</v>
      </c>
    </row>
    <row r="15" spans="1:8">
      <c r="B15" s="28" t="s">
        <v>30</v>
      </c>
    </row>
    <row r="16" spans="1:8">
      <c r="A16" s="24">
        <v>1</v>
      </c>
      <c r="B16" s="25" t="s">
        <v>31</v>
      </c>
    </row>
    <row r="17" spans="1:2">
      <c r="A17" s="24">
        <v>2</v>
      </c>
      <c r="B17" s="25" t="s">
        <v>32</v>
      </c>
    </row>
    <row r="18" spans="1:2">
      <c r="A18" s="24">
        <v>3</v>
      </c>
      <c r="B18" s="25" t="s">
        <v>33</v>
      </c>
    </row>
    <row r="19" spans="1:2">
      <c r="A19" s="24">
        <v>4</v>
      </c>
      <c r="B19" s="25" t="s">
        <v>34</v>
      </c>
    </row>
    <row r="21" spans="1:2">
      <c r="B21" s="28" t="s">
        <v>38</v>
      </c>
    </row>
    <row r="22" spans="1:2">
      <c r="A22" s="24">
        <v>1</v>
      </c>
      <c r="B22" s="25" t="s">
        <v>36</v>
      </c>
    </row>
    <row r="23" spans="1:2">
      <c r="A23" s="24">
        <v>2</v>
      </c>
      <c r="B23" s="25" t="s">
        <v>37</v>
      </c>
    </row>
  </sheetData>
  <mergeCells count="2">
    <mergeCell ref="C3:H3"/>
    <mergeCell ref="C2:H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Maker</vt:lpstr>
      <vt:lpstr>User Guide</vt:lpstr>
    </vt:vector>
  </TitlesOfParts>
  <Company>Wipro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RAJAPUTRA SANJEEV SINGH (DO&amp;P - Institutional Financial Services)</dc:creator>
  <cp:lastModifiedBy>Rajaputra Sanjeev Singh</cp:lastModifiedBy>
  <dcterms:created xsi:type="dcterms:W3CDTF">2020-02-11T14:11:20Z</dcterms:created>
  <dcterms:modified xsi:type="dcterms:W3CDTF">2020-10-19T09:38:43Z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Ref">
    <vt:lpwstr>https://api.informationprotection.azure.com/api/258ac4e4-146a-411e-9dc8-79a9e12fd6da</vt:lpwstr>
  </property>
  <property fmtid="{D5CDD505-2E9C-101B-9397-08002B2CF9AE}" pid="5" name="MSIP_Label_b9a70571-31c6-4603-80c1-ef2fb871a62a_Owner">
    <vt:lpwstr>NI20073177@wipro.com</vt:lpwstr>
  </property>
  <property fmtid="{D5CDD505-2E9C-101B-9397-08002B2CF9AE}" pid="6" name="MSIP_Label_b9a70571-31c6-4603-80c1-ef2fb871a62a_SetDate">
    <vt:lpwstr>2020-02-18T15:26:49.8935551+05:30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